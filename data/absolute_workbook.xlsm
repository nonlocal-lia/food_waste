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lwo\Documents\Flatiron\job_search_projects\food_waste\data\"/>
    </mc:Choice>
  </mc:AlternateContent>
  <xr:revisionPtr revIDLastSave="0" documentId="13_ncr:1_{24F61882-C09C-4229-96AE-B5E9FBF15647}" xr6:coauthVersionLast="47" xr6:coauthVersionMax="47" xr10:uidLastSave="{00000000-0000-0000-0000-000000000000}"/>
  <bookViews>
    <workbookView xWindow="0" yWindow="768" windowWidth="23040" windowHeight="10152" xr2:uid="{00000000-000D-0000-FFFF-FFFF00000000}"/>
  </bookViews>
  <sheets>
    <sheet name="absolute_generated_waste_table" sheetId="1" r:id="rId1"/>
    <sheet name="absolute_recycled_table" sheetId="2" r:id="rId2"/>
    <sheet name="absolute_composted_table" sheetId="3" r:id="rId3"/>
    <sheet name="absolute_combusted_table" sheetId="4" r:id="rId4"/>
    <sheet name="absolute_landfill_table" sheetId="5" r:id="rId5"/>
    <sheet name="absolute_recycle_compost_table" sheetId="7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8" i="5" l="1"/>
  <c r="D18" i="5"/>
  <c r="E18" i="5"/>
  <c r="F18" i="5"/>
  <c r="G18" i="5"/>
  <c r="H18" i="5"/>
  <c r="I18" i="5"/>
  <c r="J18" i="5"/>
  <c r="K18" i="5"/>
  <c r="B18" i="5"/>
  <c r="B18" i="7"/>
  <c r="C18" i="7"/>
  <c r="D18" i="7"/>
  <c r="E18" i="7"/>
  <c r="F18" i="7"/>
  <c r="G18" i="7"/>
  <c r="H18" i="7"/>
  <c r="I18" i="7"/>
  <c r="J18" i="7"/>
  <c r="K18" i="7"/>
</calcChain>
</file>

<file path=xl/sharedStrings.xml><?xml version="1.0" encoding="utf-8"?>
<sst xmlns="http://schemas.openxmlformats.org/spreadsheetml/2006/main" count="84" uniqueCount="23">
  <si>
    <t>Paper and Paperboard</t>
  </si>
  <si>
    <t>Glass</t>
  </si>
  <si>
    <t>Metals - Ferrous</t>
  </si>
  <si>
    <t>Metals - Aluminum</t>
  </si>
  <si>
    <t>Metals - Other Nonferrous</t>
  </si>
  <si>
    <t>Metals - Total Metals</t>
  </si>
  <si>
    <t>Plastics</t>
  </si>
  <si>
    <t>Rubber and Leather</t>
  </si>
  <si>
    <t>Textiles</t>
  </si>
  <si>
    <t>Wood</t>
  </si>
  <si>
    <t>Other **</t>
  </si>
  <si>
    <t>Total Materials in Products</t>
  </si>
  <si>
    <t>Yard Trimmings</t>
  </si>
  <si>
    <t>Miscellaneous Inorganic Wastes</t>
  </si>
  <si>
    <t>Total Other Wastes</t>
  </si>
  <si>
    <t>Total MSW Generated - Weight Â¥</t>
  </si>
  <si>
    <t>Total Metals</t>
  </si>
  <si>
    <t>Total MSW recycled</t>
  </si>
  <si>
    <t>Total - composted</t>
  </si>
  <si>
    <t>Food</t>
  </si>
  <si>
    <t>Total MSW Combusted - Weight</t>
  </si>
  <si>
    <t>Total - recycled or composted</t>
  </si>
  <si>
    <t>Total MSW Landfilled-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</si>
</sst>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"/>
  <sheetViews>
    <sheetView tabSelected="1" workbookViewId="0">
      <selection activeCell="Q5" sqref="Q5"/>
    </sheetView>
  </sheetViews>
  <sheetFormatPr defaultRowHeight="14.4" x14ac:dyDescent="0.3"/>
  <cols>
    <col min="1" max="1" width="24.88671875" customWidth="1"/>
  </cols>
  <sheetData>
    <row r="1" spans="1:11" x14ac:dyDescent="0.3">
      <c r="B1">
        <v>1960</v>
      </c>
      <c r="C1">
        <v>1970</v>
      </c>
      <c r="D1">
        <v>1980</v>
      </c>
      <c r="E1">
        <v>1990</v>
      </c>
      <c r="F1">
        <v>2000</v>
      </c>
      <c r="G1">
        <v>2005</v>
      </c>
      <c r="H1">
        <v>2010</v>
      </c>
      <c r="I1">
        <v>2015</v>
      </c>
      <c r="J1">
        <v>2017</v>
      </c>
      <c r="K1">
        <v>2018</v>
      </c>
    </row>
    <row r="2" spans="1:11" x14ac:dyDescent="0.3">
      <c r="A2" t="s">
        <v>0</v>
      </c>
      <c r="B2" s="1">
        <v>29990</v>
      </c>
      <c r="C2" s="1">
        <v>44310</v>
      </c>
      <c r="D2" s="1">
        <v>55160</v>
      </c>
      <c r="E2" s="1">
        <v>72730</v>
      </c>
      <c r="F2" s="1">
        <v>87740</v>
      </c>
      <c r="G2" s="1">
        <v>84840</v>
      </c>
      <c r="H2" s="1">
        <v>71310</v>
      </c>
      <c r="I2" s="1">
        <v>68050</v>
      </c>
      <c r="J2" s="1">
        <v>67010</v>
      </c>
      <c r="K2" s="1">
        <v>67390</v>
      </c>
    </row>
    <row r="3" spans="1:11" x14ac:dyDescent="0.3">
      <c r="A3" t="s">
        <v>1</v>
      </c>
      <c r="B3" s="1">
        <v>6720</v>
      </c>
      <c r="C3" s="1">
        <v>12740</v>
      </c>
      <c r="D3" s="1">
        <v>15130</v>
      </c>
      <c r="E3" s="1">
        <v>13100</v>
      </c>
      <c r="F3" s="1">
        <v>12770</v>
      </c>
      <c r="G3" s="1">
        <v>12540</v>
      </c>
      <c r="H3" s="1">
        <v>11520</v>
      </c>
      <c r="I3" s="1">
        <v>11470</v>
      </c>
      <c r="J3" s="1">
        <v>12300</v>
      </c>
      <c r="K3" s="1">
        <v>12250</v>
      </c>
    </row>
    <row r="4" spans="1:11" x14ac:dyDescent="0.3">
      <c r="A4" t="s">
        <v>2</v>
      </c>
      <c r="B4" s="1">
        <v>10300</v>
      </c>
      <c r="C4" s="1">
        <v>12360</v>
      </c>
      <c r="D4" s="1">
        <v>12620</v>
      </c>
      <c r="E4" s="1">
        <v>12640</v>
      </c>
      <c r="F4" s="1">
        <v>14150</v>
      </c>
      <c r="G4" s="1">
        <v>15210</v>
      </c>
      <c r="H4" s="1">
        <v>16920</v>
      </c>
      <c r="I4" s="1">
        <v>18190</v>
      </c>
      <c r="J4" s="1">
        <v>18890</v>
      </c>
      <c r="K4" s="1">
        <v>19200</v>
      </c>
    </row>
    <row r="5" spans="1:11" x14ac:dyDescent="0.3">
      <c r="A5" t="s">
        <v>3</v>
      </c>
      <c r="B5">
        <v>340</v>
      </c>
      <c r="C5">
        <v>800</v>
      </c>
      <c r="D5" s="1">
        <v>1730</v>
      </c>
      <c r="E5" s="1">
        <v>2810</v>
      </c>
      <c r="F5" s="1">
        <v>3190</v>
      </c>
      <c r="G5" s="1">
        <v>3330</v>
      </c>
      <c r="H5" s="1">
        <v>3510</v>
      </c>
      <c r="I5" s="1">
        <v>3670</v>
      </c>
      <c r="J5" s="1">
        <v>3820</v>
      </c>
      <c r="K5" s="1">
        <v>3890</v>
      </c>
    </row>
    <row r="6" spans="1:11" x14ac:dyDescent="0.3">
      <c r="A6" t="s">
        <v>4</v>
      </c>
      <c r="B6">
        <v>180</v>
      </c>
      <c r="C6">
        <v>670</v>
      </c>
      <c r="D6" s="1">
        <v>1160</v>
      </c>
      <c r="E6" s="1">
        <v>1100</v>
      </c>
      <c r="F6" s="1">
        <v>1600</v>
      </c>
      <c r="G6" s="1">
        <v>1860</v>
      </c>
      <c r="H6" s="1">
        <v>2020</v>
      </c>
      <c r="I6" s="1">
        <v>2010</v>
      </c>
      <c r="J6" s="1">
        <v>2510</v>
      </c>
      <c r="K6" s="1">
        <v>2510</v>
      </c>
    </row>
    <row r="7" spans="1:11" x14ac:dyDescent="0.3">
      <c r="A7" t="s">
        <v>5</v>
      </c>
      <c r="B7" s="1">
        <v>10820</v>
      </c>
      <c r="C7" s="1">
        <v>13830</v>
      </c>
      <c r="D7" s="1">
        <v>15510</v>
      </c>
      <c r="E7" s="1">
        <v>16550</v>
      </c>
      <c r="F7" s="1">
        <v>18940</v>
      </c>
      <c r="G7" s="1">
        <v>20400</v>
      </c>
      <c r="H7" s="1">
        <v>22450</v>
      </c>
      <c r="I7" s="1">
        <v>23870</v>
      </c>
      <c r="J7" s="1">
        <v>25220</v>
      </c>
      <c r="K7" s="1">
        <v>25600</v>
      </c>
    </row>
    <row r="8" spans="1:11" x14ac:dyDescent="0.3">
      <c r="A8" t="s">
        <v>6</v>
      </c>
      <c r="B8">
        <v>390</v>
      </c>
      <c r="C8" s="1">
        <v>2900</v>
      </c>
      <c r="D8" s="1">
        <v>6830</v>
      </c>
      <c r="E8" s="1">
        <v>17130</v>
      </c>
      <c r="F8" s="1">
        <v>25550</v>
      </c>
      <c r="G8" s="1">
        <v>29380</v>
      </c>
      <c r="H8" s="1">
        <v>31400</v>
      </c>
      <c r="I8" s="1">
        <v>34480</v>
      </c>
      <c r="J8" s="1">
        <v>35410</v>
      </c>
      <c r="K8" s="1">
        <v>35680</v>
      </c>
    </row>
    <row r="9" spans="1:11" x14ac:dyDescent="0.3">
      <c r="A9" t="s">
        <v>7</v>
      </c>
      <c r="B9" s="1">
        <v>1840</v>
      </c>
      <c r="C9" s="1">
        <v>2970</v>
      </c>
      <c r="D9" s="1">
        <v>4200</v>
      </c>
      <c r="E9" s="1">
        <v>5790</v>
      </c>
      <c r="F9" s="1">
        <v>6670</v>
      </c>
      <c r="G9" s="1">
        <v>7290</v>
      </c>
      <c r="H9" s="1">
        <v>7750</v>
      </c>
      <c r="I9" s="1">
        <v>8560</v>
      </c>
      <c r="J9" s="1">
        <v>9110</v>
      </c>
      <c r="K9" s="1">
        <v>9160</v>
      </c>
    </row>
    <row r="10" spans="1:11" x14ac:dyDescent="0.3">
      <c r="A10" t="s">
        <v>8</v>
      </c>
      <c r="B10" s="1">
        <v>1760</v>
      </c>
      <c r="C10" s="1">
        <v>2040</v>
      </c>
      <c r="D10" s="1">
        <v>2530</v>
      </c>
      <c r="E10" s="1">
        <v>5810</v>
      </c>
      <c r="F10" s="1">
        <v>9480</v>
      </c>
      <c r="G10" s="1">
        <v>11510</v>
      </c>
      <c r="H10" s="1">
        <v>13220</v>
      </c>
      <c r="I10" s="1">
        <v>16060</v>
      </c>
      <c r="J10" s="1">
        <v>16890</v>
      </c>
      <c r="K10" s="1">
        <v>17030</v>
      </c>
    </row>
    <row r="11" spans="1:11" x14ac:dyDescent="0.3">
      <c r="A11" t="s">
        <v>9</v>
      </c>
      <c r="B11" s="1">
        <v>3030</v>
      </c>
      <c r="C11" s="1">
        <v>3720</v>
      </c>
      <c r="D11" s="1">
        <v>7010</v>
      </c>
      <c r="E11" s="1">
        <v>12210</v>
      </c>
      <c r="F11" s="1">
        <v>13570</v>
      </c>
      <c r="G11" s="1">
        <v>14790</v>
      </c>
      <c r="H11" s="1">
        <v>15710</v>
      </c>
      <c r="I11" s="1">
        <v>16300</v>
      </c>
      <c r="J11" s="1">
        <v>18200</v>
      </c>
      <c r="K11" s="1">
        <v>18090</v>
      </c>
    </row>
    <row r="12" spans="1:11" x14ac:dyDescent="0.3">
      <c r="A12" t="s">
        <v>10</v>
      </c>
      <c r="B12">
        <v>70</v>
      </c>
      <c r="C12">
        <v>770</v>
      </c>
      <c r="D12" s="1">
        <v>2520</v>
      </c>
      <c r="E12" s="1">
        <v>3190</v>
      </c>
      <c r="F12" s="1">
        <v>4000</v>
      </c>
      <c r="G12" s="1">
        <v>4290</v>
      </c>
      <c r="H12" s="1">
        <v>4710</v>
      </c>
      <c r="I12" s="1">
        <v>4880</v>
      </c>
      <c r="J12" s="1">
        <v>4630</v>
      </c>
      <c r="K12" s="1">
        <v>4560</v>
      </c>
    </row>
    <row r="13" spans="1:11" x14ac:dyDescent="0.3">
      <c r="A13" t="s">
        <v>11</v>
      </c>
      <c r="B13" s="1">
        <v>54620</v>
      </c>
      <c r="C13" s="1">
        <v>83280</v>
      </c>
      <c r="D13" s="1">
        <v>108890</v>
      </c>
      <c r="E13" s="1">
        <v>146510</v>
      </c>
      <c r="F13" s="1">
        <v>178720</v>
      </c>
      <c r="G13" s="1">
        <v>185040</v>
      </c>
      <c r="H13" s="1">
        <v>178070</v>
      </c>
      <c r="I13" s="1">
        <v>183670</v>
      </c>
      <c r="J13" s="1">
        <v>188770</v>
      </c>
      <c r="K13" s="1">
        <v>189760</v>
      </c>
    </row>
    <row r="14" spans="1:11" x14ac:dyDescent="0.3">
      <c r="A14" t="s">
        <v>19</v>
      </c>
      <c r="B14" s="1">
        <v>12200</v>
      </c>
      <c r="C14" s="1">
        <v>12800</v>
      </c>
      <c r="D14" s="1">
        <v>13000</v>
      </c>
      <c r="E14" s="1">
        <v>23860</v>
      </c>
      <c r="F14" s="1">
        <v>30700</v>
      </c>
      <c r="G14" s="1">
        <v>32930</v>
      </c>
      <c r="H14" s="1">
        <v>35740</v>
      </c>
      <c r="I14" s="1">
        <v>39730</v>
      </c>
      <c r="J14" s="1">
        <v>40670</v>
      </c>
      <c r="K14" s="1">
        <v>63130</v>
      </c>
    </row>
    <row r="15" spans="1:11" x14ac:dyDescent="0.3">
      <c r="A15" t="s">
        <v>12</v>
      </c>
      <c r="B15" s="1">
        <v>20000</v>
      </c>
      <c r="C15" s="1">
        <v>23200</v>
      </c>
      <c r="D15" s="1">
        <v>27500</v>
      </c>
      <c r="E15" s="1">
        <v>35000</v>
      </c>
      <c r="F15" s="1">
        <v>30530</v>
      </c>
      <c r="G15" s="1">
        <v>32070</v>
      </c>
      <c r="H15" s="1">
        <v>33400</v>
      </c>
      <c r="I15" s="1">
        <v>34720</v>
      </c>
      <c r="J15" s="1">
        <v>35180</v>
      </c>
      <c r="K15" s="1">
        <v>35400</v>
      </c>
    </row>
    <row r="16" spans="1:11" x14ac:dyDescent="0.3">
      <c r="A16" t="s">
        <v>13</v>
      </c>
      <c r="B16" s="1">
        <v>1300</v>
      </c>
      <c r="C16" s="1">
        <v>1780</v>
      </c>
      <c r="D16" s="1">
        <v>2250</v>
      </c>
      <c r="E16" s="1">
        <v>2900</v>
      </c>
      <c r="F16" s="1">
        <v>3500</v>
      </c>
      <c r="G16" s="1">
        <v>3690</v>
      </c>
      <c r="H16" s="1">
        <v>3840</v>
      </c>
      <c r="I16" s="1">
        <v>3990</v>
      </c>
      <c r="J16" s="1">
        <v>4040</v>
      </c>
      <c r="K16" s="1">
        <v>4070</v>
      </c>
    </row>
    <row r="17" spans="1:11" x14ac:dyDescent="0.3">
      <c r="A17" t="s">
        <v>14</v>
      </c>
      <c r="B17" s="1">
        <v>33500</v>
      </c>
      <c r="C17" s="1">
        <v>37780</v>
      </c>
      <c r="D17" s="1">
        <v>42750</v>
      </c>
      <c r="E17" s="1">
        <v>61760</v>
      </c>
      <c r="F17" s="1">
        <v>64730</v>
      </c>
      <c r="G17" s="1">
        <v>68690</v>
      </c>
      <c r="H17" s="1">
        <v>72980</v>
      </c>
      <c r="I17" s="1">
        <v>78440</v>
      </c>
      <c r="J17" s="1">
        <v>79890</v>
      </c>
      <c r="K17" s="1">
        <v>102600</v>
      </c>
    </row>
    <row r="18" spans="1:11" x14ac:dyDescent="0.3">
      <c r="A18" t="s">
        <v>15</v>
      </c>
      <c r="B18" s="1">
        <v>88120</v>
      </c>
      <c r="C18" s="1">
        <v>121060</v>
      </c>
      <c r="D18" s="1">
        <v>151640</v>
      </c>
      <c r="E18" s="1">
        <v>208270</v>
      </c>
      <c r="F18" s="1">
        <v>243450</v>
      </c>
      <c r="G18" s="1">
        <v>253730</v>
      </c>
      <c r="H18" s="1">
        <v>251050</v>
      </c>
      <c r="I18" s="1">
        <v>262110</v>
      </c>
      <c r="J18" s="1">
        <v>268660</v>
      </c>
      <c r="K18" s="1">
        <v>292360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8"/>
  <sheetViews>
    <sheetView workbookViewId="0"/>
  </sheetViews>
  <sheetFormatPr defaultRowHeight="14.4" x14ac:dyDescent="0.3"/>
  <cols>
    <col min="1" max="1" width="18.77734375" customWidth="1"/>
  </cols>
  <sheetData>
    <row r="1" spans="1:11" x14ac:dyDescent="0.3">
      <c r="B1">
        <v>1960</v>
      </c>
      <c r="C1">
        <v>1970</v>
      </c>
      <c r="D1">
        <v>1980</v>
      </c>
      <c r="E1">
        <v>1990</v>
      </c>
      <c r="F1">
        <v>2000</v>
      </c>
      <c r="G1">
        <v>2005</v>
      </c>
      <c r="H1">
        <v>2010</v>
      </c>
      <c r="I1">
        <v>2015</v>
      </c>
      <c r="J1">
        <v>2017</v>
      </c>
      <c r="K1">
        <v>2018</v>
      </c>
    </row>
    <row r="2" spans="1:11" x14ac:dyDescent="0.3">
      <c r="A2" t="s">
        <v>0</v>
      </c>
      <c r="B2" s="1">
        <v>5080</v>
      </c>
      <c r="C2" s="1">
        <v>6770</v>
      </c>
      <c r="D2" s="1">
        <v>11740</v>
      </c>
      <c r="E2" s="1">
        <v>20230</v>
      </c>
      <c r="F2" s="1">
        <v>37560</v>
      </c>
      <c r="G2" s="1">
        <v>41960</v>
      </c>
      <c r="H2" s="1">
        <v>44570</v>
      </c>
      <c r="I2" s="1">
        <v>45320</v>
      </c>
      <c r="J2" s="1">
        <v>44170</v>
      </c>
      <c r="K2" s="1">
        <v>45970</v>
      </c>
    </row>
    <row r="3" spans="1:11" x14ac:dyDescent="0.3">
      <c r="A3" t="s">
        <v>1</v>
      </c>
      <c r="B3">
        <v>100</v>
      </c>
      <c r="C3">
        <v>160</v>
      </c>
      <c r="D3">
        <v>750</v>
      </c>
      <c r="E3" s="1">
        <v>2630</v>
      </c>
      <c r="F3" s="1">
        <v>2880</v>
      </c>
      <c r="G3" s="1">
        <v>2590</v>
      </c>
      <c r="H3" s="1">
        <v>3130</v>
      </c>
      <c r="I3" s="1">
        <v>3190</v>
      </c>
      <c r="J3" s="1">
        <v>3070</v>
      </c>
      <c r="K3" s="1">
        <v>3060</v>
      </c>
    </row>
    <row r="4" spans="1:11" x14ac:dyDescent="0.3">
      <c r="A4" t="s">
        <v>2</v>
      </c>
      <c r="B4">
        <v>50</v>
      </c>
      <c r="C4">
        <v>150</v>
      </c>
      <c r="D4">
        <v>370</v>
      </c>
      <c r="E4" s="1">
        <v>2230</v>
      </c>
      <c r="F4" s="1">
        <v>4680</v>
      </c>
      <c r="G4" s="1">
        <v>5020</v>
      </c>
      <c r="H4" s="1">
        <v>5800</v>
      </c>
      <c r="I4" s="1">
        <v>6070</v>
      </c>
      <c r="J4" s="1">
        <v>6170</v>
      </c>
      <c r="K4" s="1">
        <v>6360</v>
      </c>
    </row>
    <row r="5" spans="1:11" x14ac:dyDescent="0.3">
      <c r="A5" t="s">
        <v>3</v>
      </c>
      <c r="B5">
        <v>0</v>
      </c>
      <c r="C5">
        <v>10</v>
      </c>
      <c r="D5">
        <v>310</v>
      </c>
      <c r="E5" s="1">
        <v>1010</v>
      </c>
      <c r="F5">
        <v>860</v>
      </c>
      <c r="G5">
        <v>690</v>
      </c>
      <c r="H5">
        <v>680</v>
      </c>
      <c r="I5">
        <v>670</v>
      </c>
      <c r="J5">
        <v>600</v>
      </c>
      <c r="K5">
        <v>670</v>
      </c>
    </row>
    <row r="6" spans="1:11" x14ac:dyDescent="0.3">
      <c r="A6" t="s">
        <v>4</v>
      </c>
      <c r="B6">
        <v>0</v>
      </c>
      <c r="C6">
        <v>320</v>
      </c>
      <c r="D6">
        <v>540</v>
      </c>
      <c r="E6">
        <v>730</v>
      </c>
      <c r="F6" s="1">
        <v>1060</v>
      </c>
      <c r="G6" s="1">
        <v>1280</v>
      </c>
      <c r="H6" s="1">
        <v>1440</v>
      </c>
      <c r="I6" s="1">
        <v>1290</v>
      </c>
      <c r="J6" s="1">
        <v>1710</v>
      </c>
      <c r="K6" s="1">
        <v>1690</v>
      </c>
    </row>
    <row r="7" spans="1:11" x14ac:dyDescent="0.3">
      <c r="A7" t="s">
        <v>16</v>
      </c>
      <c r="B7">
        <v>50</v>
      </c>
      <c r="C7">
        <v>480</v>
      </c>
      <c r="D7" s="1">
        <v>1220</v>
      </c>
      <c r="E7" s="1">
        <v>3970</v>
      </c>
      <c r="F7" s="1">
        <v>6600</v>
      </c>
      <c r="G7" s="1">
        <v>6990</v>
      </c>
      <c r="H7" s="1">
        <v>7920</v>
      </c>
      <c r="I7" s="1">
        <v>8030</v>
      </c>
      <c r="J7" s="1">
        <v>8480</v>
      </c>
      <c r="K7" s="1">
        <v>8720</v>
      </c>
    </row>
    <row r="8" spans="1:11" x14ac:dyDescent="0.3">
      <c r="A8" t="s">
        <v>6</v>
      </c>
      <c r="B8">
        <v>0</v>
      </c>
      <c r="C8">
        <v>0</v>
      </c>
      <c r="D8">
        <v>20</v>
      </c>
      <c r="E8">
        <v>370</v>
      </c>
      <c r="F8" s="1">
        <v>1480</v>
      </c>
      <c r="G8" s="1">
        <v>1780</v>
      </c>
      <c r="H8" s="1">
        <v>2500</v>
      </c>
      <c r="I8" s="1">
        <v>3120</v>
      </c>
      <c r="J8" s="1">
        <v>3000</v>
      </c>
      <c r="K8" s="1">
        <v>3090</v>
      </c>
    </row>
    <row r="9" spans="1:11" x14ac:dyDescent="0.3">
      <c r="A9" t="s">
        <v>7</v>
      </c>
      <c r="B9">
        <v>330</v>
      </c>
      <c r="C9">
        <v>250</v>
      </c>
      <c r="D9">
        <v>130</v>
      </c>
      <c r="E9">
        <v>370</v>
      </c>
      <c r="F9">
        <v>820</v>
      </c>
      <c r="G9" s="1">
        <v>1050</v>
      </c>
      <c r="H9" s="1">
        <v>1440</v>
      </c>
      <c r="I9" s="1">
        <v>1550</v>
      </c>
      <c r="J9" s="1">
        <v>1670</v>
      </c>
      <c r="K9" s="1">
        <v>1670</v>
      </c>
    </row>
    <row r="10" spans="1:11" x14ac:dyDescent="0.3">
      <c r="A10" t="s">
        <v>8</v>
      </c>
      <c r="B10">
        <v>50</v>
      </c>
      <c r="C10">
        <v>60</v>
      </c>
      <c r="D10">
        <v>160</v>
      </c>
      <c r="E10">
        <v>660</v>
      </c>
      <c r="F10" s="1">
        <v>1320</v>
      </c>
      <c r="G10" s="1">
        <v>1830</v>
      </c>
      <c r="H10" s="1">
        <v>2050</v>
      </c>
      <c r="I10" s="1">
        <v>2460</v>
      </c>
      <c r="J10" s="1">
        <v>2570</v>
      </c>
      <c r="K10" s="1">
        <v>2510</v>
      </c>
    </row>
    <row r="11" spans="1:11" x14ac:dyDescent="0.3">
      <c r="A11" t="s">
        <v>9</v>
      </c>
      <c r="B11">
        <v>0</v>
      </c>
      <c r="C11">
        <v>0</v>
      </c>
      <c r="D11">
        <v>0</v>
      </c>
      <c r="E11">
        <v>130</v>
      </c>
      <c r="F11" s="1">
        <v>1370</v>
      </c>
      <c r="G11" s="1">
        <v>1830</v>
      </c>
      <c r="H11" s="1">
        <v>2280</v>
      </c>
      <c r="I11" s="1">
        <v>2660</v>
      </c>
      <c r="J11" s="1">
        <v>3030</v>
      </c>
      <c r="K11" s="1">
        <v>3100</v>
      </c>
    </row>
    <row r="12" spans="1:11" x14ac:dyDescent="0.3">
      <c r="A12" t="s">
        <v>10</v>
      </c>
      <c r="B12">
        <v>0</v>
      </c>
      <c r="C12">
        <v>300</v>
      </c>
      <c r="D12">
        <v>500</v>
      </c>
      <c r="E12">
        <v>680</v>
      </c>
      <c r="F12">
        <v>980</v>
      </c>
      <c r="G12" s="1">
        <v>1210</v>
      </c>
      <c r="H12" s="1">
        <v>1370</v>
      </c>
      <c r="I12" s="1">
        <v>1230</v>
      </c>
      <c r="J12">
        <v>990</v>
      </c>
      <c r="K12">
        <v>970</v>
      </c>
    </row>
    <row r="13" spans="1:11" x14ac:dyDescent="0.3">
      <c r="A13" t="s">
        <v>17</v>
      </c>
      <c r="B13" s="1">
        <v>5610</v>
      </c>
      <c r="C13" s="1">
        <v>8020</v>
      </c>
      <c r="D13" s="1">
        <v>14520</v>
      </c>
      <c r="E13" s="1">
        <v>29040</v>
      </c>
      <c r="F13" s="1">
        <v>53010</v>
      </c>
      <c r="G13" s="1">
        <v>59240</v>
      </c>
      <c r="H13" s="1">
        <v>65260</v>
      </c>
      <c r="I13" s="1">
        <v>67560</v>
      </c>
      <c r="J13" s="1">
        <v>66980</v>
      </c>
      <c r="K13" s="1">
        <v>69090</v>
      </c>
    </row>
    <row r="15" spans="1:11" x14ac:dyDescent="0.3">
      <c r="I15" s="1"/>
      <c r="J15" s="1"/>
      <c r="K15" s="1"/>
    </row>
    <row r="16" spans="1:11" x14ac:dyDescent="0.3">
      <c r="E16" s="1"/>
      <c r="F16" s="1"/>
      <c r="G16" s="1"/>
      <c r="H16" s="1"/>
      <c r="I16" s="1"/>
      <c r="J16" s="1"/>
      <c r="K16" s="1"/>
    </row>
    <row r="18" spans="5:11" x14ac:dyDescent="0.3">
      <c r="E18" s="1"/>
      <c r="F18" s="1"/>
      <c r="G18" s="1"/>
      <c r="H18" s="1"/>
      <c r="I18" s="1"/>
      <c r="J18" s="1"/>
      <c r="K1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5"/>
  <sheetViews>
    <sheetView workbookViewId="0"/>
  </sheetViews>
  <sheetFormatPr defaultRowHeight="14.4" x14ac:dyDescent="0.3"/>
  <cols>
    <col min="1" max="1" width="25.21875" customWidth="1"/>
  </cols>
  <sheetData>
    <row r="1" spans="1:11" x14ac:dyDescent="0.3">
      <c r="B1">
        <v>1960</v>
      </c>
      <c r="C1">
        <v>1970</v>
      </c>
      <c r="D1">
        <v>1980</v>
      </c>
      <c r="E1">
        <v>1990</v>
      </c>
      <c r="F1">
        <v>2000</v>
      </c>
      <c r="G1">
        <v>2005</v>
      </c>
      <c r="H1">
        <v>2010</v>
      </c>
      <c r="I1">
        <v>2015</v>
      </c>
      <c r="J1">
        <v>2017</v>
      </c>
      <c r="K1">
        <v>2018</v>
      </c>
    </row>
    <row r="2" spans="1:11" x14ac:dyDescent="0.3">
      <c r="A2" t="s">
        <v>19</v>
      </c>
      <c r="B2">
        <v>0</v>
      </c>
      <c r="C2">
        <v>0</v>
      </c>
      <c r="D2">
        <v>0</v>
      </c>
      <c r="E2">
        <v>0</v>
      </c>
      <c r="F2">
        <v>680</v>
      </c>
      <c r="G2">
        <v>690</v>
      </c>
      <c r="H2">
        <v>970</v>
      </c>
      <c r="I2" s="1">
        <v>2100</v>
      </c>
      <c r="J2" s="1">
        <v>2570</v>
      </c>
      <c r="K2" s="1">
        <v>2590</v>
      </c>
    </row>
    <row r="3" spans="1:11" x14ac:dyDescent="0.3">
      <c r="A3" t="s">
        <v>12</v>
      </c>
      <c r="B3">
        <v>0</v>
      </c>
      <c r="C3">
        <v>0</v>
      </c>
      <c r="D3">
        <v>0</v>
      </c>
      <c r="E3" s="1">
        <v>4200</v>
      </c>
      <c r="F3" s="1">
        <v>15770</v>
      </c>
      <c r="G3" s="1">
        <v>19860</v>
      </c>
      <c r="H3" s="1">
        <v>19200</v>
      </c>
      <c r="I3" s="1">
        <v>21290</v>
      </c>
      <c r="J3" s="1">
        <v>24420</v>
      </c>
      <c r="K3" s="1">
        <v>22300</v>
      </c>
    </row>
    <row r="4" spans="1:11" x14ac:dyDescent="0.3">
      <c r="A4" t="s">
        <v>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3">
      <c r="A5" t="s">
        <v>18</v>
      </c>
      <c r="B5">
        <v>0</v>
      </c>
      <c r="C5">
        <v>0</v>
      </c>
      <c r="D5">
        <v>0</v>
      </c>
      <c r="E5" s="1">
        <v>4200</v>
      </c>
      <c r="F5" s="1">
        <v>16450</v>
      </c>
      <c r="G5" s="1">
        <v>20550</v>
      </c>
      <c r="H5" s="1">
        <v>20170</v>
      </c>
      <c r="I5" s="1">
        <v>23390</v>
      </c>
      <c r="J5" s="1">
        <v>26990</v>
      </c>
      <c r="K5" s="1">
        <v>24890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8"/>
  <sheetViews>
    <sheetView workbookViewId="0"/>
  </sheetViews>
  <sheetFormatPr defaultRowHeight="14.4" x14ac:dyDescent="0.3"/>
  <cols>
    <col min="1" max="1" width="30" customWidth="1"/>
  </cols>
  <sheetData>
    <row r="1" spans="1:11" x14ac:dyDescent="0.3">
      <c r="B1">
        <v>1960</v>
      </c>
      <c r="C1">
        <v>1970</v>
      </c>
      <c r="D1">
        <v>1980</v>
      </c>
      <c r="E1">
        <v>1990</v>
      </c>
      <c r="F1">
        <v>2000</v>
      </c>
      <c r="G1">
        <v>2005</v>
      </c>
      <c r="H1">
        <v>2010</v>
      </c>
      <c r="I1">
        <v>2015</v>
      </c>
      <c r="J1">
        <v>2017</v>
      </c>
      <c r="K1">
        <v>2018</v>
      </c>
    </row>
    <row r="2" spans="1:11" x14ac:dyDescent="0.3">
      <c r="A2" t="s">
        <v>0</v>
      </c>
      <c r="B2">
        <v>0</v>
      </c>
      <c r="C2">
        <v>150</v>
      </c>
      <c r="D2">
        <v>860</v>
      </c>
      <c r="E2" s="1">
        <v>8930</v>
      </c>
      <c r="F2" s="1">
        <v>9730</v>
      </c>
      <c r="G2" s="1">
        <v>7800</v>
      </c>
      <c r="H2" s="1">
        <v>4740</v>
      </c>
      <c r="I2" s="1">
        <v>4450</v>
      </c>
      <c r="J2" s="1">
        <v>4490</v>
      </c>
      <c r="K2" s="1">
        <v>4200</v>
      </c>
    </row>
    <row r="3" spans="1:11" x14ac:dyDescent="0.3">
      <c r="A3" t="s">
        <v>1</v>
      </c>
      <c r="B3">
        <v>0</v>
      </c>
      <c r="C3">
        <v>60</v>
      </c>
      <c r="D3">
        <v>300</v>
      </c>
      <c r="E3" s="1">
        <v>1810</v>
      </c>
      <c r="F3" s="1">
        <v>1790</v>
      </c>
      <c r="G3" s="1">
        <v>1660</v>
      </c>
      <c r="H3" s="1">
        <v>1360</v>
      </c>
      <c r="I3" s="1">
        <v>1440</v>
      </c>
      <c r="J3" s="1">
        <v>1650</v>
      </c>
      <c r="K3" s="1">
        <v>1640</v>
      </c>
    </row>
    <row r="4" spans="1:11" x14ac:dyDescent="0.3">
      <c r="A4" t="s">
        <v>2</v>
      </c>
      <c r="B4">
        <v>0</v>
      </c>
      <c r="C4">
        <v>60</v>
      </c>
      <c r="D4">
        <v>250</v>
      </c>
      <c r="E4" s="1">
        <v>1690</v>
      </c>
      <c r="F4" s="1">
        <v>1610</v>
      </c>
      <c r="G4" s="1">
        <v>1640</v>
      </c>
      <c r="H4" s="1">
        <v>1810</v>
      </c>
      <c r="I4" s="1">
        <v>2150</v>
      </c>
      <c r="J4" s="1">
        <v>2290</v>
      </c>
      <c r="K4" s="1">
        <v>2310</v>
      </c>
    </row>
    <row r="5" spans="1:11" x14ac:dyDescent="0.3">
      <c r="A5" t="s">
        <v>3</v>
      </c>
      <c r="B5">
        <v>0</v>
      </c>
      <c r="C5">
        <v>0</v>
      </c>
      <c r="D5">
        <v>30</v>
      </c>
      <c r="E5">
        <v>300</v>
      </c>
      <c r="F5">
        <v>390</v>
      </c>
      <c r="G5">
        <v>410</v>
      </c>
      <c r="H5">
        <v>440</v>
      </c>
      <c r="I5">
        <v>510</v>
      </c>
      <c r="J5">
        <v>550</v>
      </c>
      <c r="K5">
        <v>560</v>
      </c>
    </row>
    <row r="6" spans="1:11" x14ac:dyDescent="0.3">
      <c r="A6" t="s">
        <v>4</v>
      </c>
      <c r="B6">
        <v>0</v>
      </c>
      <c r="C6">
        <v>0</v>
      </c>
      <c r="D6">
        <v>20</v>
      </c>
      <c r="E6">
        <v>60</v>
      </c>
      <c r="F6">
        <v>50</v>
      </c>
      <c r="G6">
        <v>50</v>
      </c>
      <c r="H6">
        <v>60</v>
      </c>
      <c r="I6">
        <v>60</v>
      </c>
      <c r="J6">
        <v>70</v>
      </c>
      <c r="K6">
        <v>80</v>
      </c>
    </row>
    <row r="7" spans="1:11" x14ac:dyDescent="0.3">
      <c r="A7" t="s">
        <v>16</v>
      </c>
      <c r="B7">
        <v>0</v>
      </c>
      <c r="C7">
        <v>60</v>
      </c>
      <c r="D7">
        <v>300</v>
      </c>
      <c r="E7" s="1">
        <v>2050</v>
      </c>
      <c r="F7" s="1">
        <v>2050</v>
      </c>
      <c r="G7" s="1">
        <v>2100</v>
      </c>
      <c r="H7" s="1">
        <v>2310</v>
      </c>
      <c r="I7" s="1">
        <v>2720</v>
      </c>
      <c r="J7" s="1">
        <v>2910</v>
      </c>
      <c r="K7" s="1">
        <v>2950</v>
      </c>
    </row>
    <row r="8" spans="1:11" x14ac:dyDescent="0.3">
      <c r="A8" t="s">
        <v>6</v>
      </c>
      <c r="B8">
        <v>0</v>
      </c>
      <c r="C8">
        <v>0</v>
      </c>
      <c r="D8">
        <v>140</v>
      </c>
      <c r="E8" s="1">
        <v>2980</v>
      </c>
      <c r="F8" s="1">
        <v>4120</v>
      </c>
      <c r="G8" s="1">
        <v>4330</v>
      </c>
      <c r="H8" s="1">
        <v>4530</v>
      </c>
      <c r="I8" s="1">
        <v>5330</v>
      </c>
      <c r="J8" s="1">
        <v>5590</v>
      </c>
      <c r="K8" s="1">
        <v>5620</v>
      </c>
    </row>
    <row r="9" spans="1:11" x14ac:dyDescent="0.3">
      <c r="A9" t="s">
        <v>7</v>
      </c>
      <c r="B9">
        <v>0</v>
      </c>
      <c r="C9">
        <v>10</v>
      </c>
      <c r="D9">
        <v>70</v>
      </c>
      <c r="E9">
        <v>830</v>
      </c>
      <c r="F9" s="1">
        <v>1970</v>
      </c>
      <c r="G9" s="1">
        <v>2110</v>
      </c>
      <c r="H9" s="1">
        <v>1910</v>
      </c>
      <c r="I9" s="1">
        <v>2520</v>
      </c>
      <c r="J9" s="1">
        <v>2490</v>
      </c>
      <c r="K9" s="1">
        <v>2500</v>
      </c>
    </row>
    <row r="10" spans="1:11" x14ac:dyDescent="0.3">
      <c r="A10" t="s">
        <v>8</v>
      </c>
      <c r="B10">
        <v>0</v>
      </c>
      <c r="C10">
        <v>10</v>
      </c>
      <c r="D10">
        <v>50</v>
      </c>
      <c r="E10">
        <v>880</v>
      </c>
      <c r="F10" s="1">
        <v>1880</v>
      </c>
      <c r="G10" s="1">
        <v>2110</v>
      </c>
      <c r="H10" s="1">
        <v>2270</v>
      </c>
      <c r="I10" s="1">
        <v>3060</v>
      </c>
      <c r="J10" s="1">
        <v>3170</v>
      </c>
      <c r="K10" s="1">
        <v>3220</v>
      </c>
    </row>
    <row r="11" spans="1:11" x14ac:dyDescent="0.3">
      <c r="A11" t="s">
        <v>9</v>
      </c>
      <c r="B11">
        <v>0</v>
      </c>
      <c r="C11">
        <v>10</v>
      </c>
      <c r="D11">
        <v>150</v>
      </c>
      <c r="E11" s="1">
        <v>2080</v>
      </c>
      <c r="F11" s="1">
        <v>2290</v>
      </c>
      <c r="G11" s="1">
        <v>2270</v>
      </c>
      <c r="H11" s="1">
        <v>2310</v>
      </c>
      <c r="I11" s="1">
        <v>2570</v>
      </c>
      <c r="J11" s="1">
        <v>2880</v>
      </c>
      <c r="K11" s="1">
        <v>2840</v>
      </c>
    </row>
    <row r="12" spans="1:11" x14ac:dyDescent="0.3">
      <c r="A12" t="s">
        <v>10</v>
      </c>
      <c r="B12">
        <v>0</v>
      </c>
      <c r="C12">
        <v>0</v>
      </c>
      <c r="D12">
        <v>30</v>
      </c>
      <c r="E12">
        <v>410</v>
      </c>
      <c r="F12">
        <v>540</v>
      </c>
      <c r="G12">
        <v>510</v>
      </c>
      <c r="H12">
        <v>540</v>
      </c>
      <c r="I12">
        <v>670</v>
      </c>
      <c r="J12">
        <v>670</v>
      </c>
      <c r="K12">
        <v>660</v>
      </c>
    </row>
    <row r="13" spans="1:11" x14ac:dyDescent="0.3">
      <c r="A13" t="s">
        <v>11</v>
      </c>
      <c r="B13">
        <v>0</v>
      </c>
      <c r="C13">
        <v>300</v>
      </c>
      <c r="D13" s="1">
        <v>1900</v>
      </c>
      <c r="E13" s="1">
        <v>19970</v>
      </c>
      <c r="F13" s="1">
        <v>24370</v>
      </c>
      <c r="G13" s="1">
        <v>22890</v>
      </c>
      <c r="H13" s="1">
        <v>19970</v>
      </c>
      <c r="I13" s="1">
        <v>22760</v>
      </c>
      <c r="J13" s="1">
        <v>23850</v>
      </c>
      <c r="K13" s="1">
        <v>23630</v>
      </c>
    </row>
    <row r="14" spans="1:11" x14ac:dyDescent="0.3">
      <c r="A14" t="s">
        <v>19</v>
      </c>
      <c r="B14">
        <v>0</v>
      </c>
      <c r="C14">
        <v>50</v>
      </c>
      <c r="D14">
        <v>260</v>
      </c>
      <c r="E14" s="1">
        <v>4060</v>
      </c>
      <c r="F14" s="1">
        <v>5820</v>
      </c>
      <c r="G14" s="1">
        <v>5870</v>
      </c>
      <c r="H14" s="1">
        <v>6150</v>
      </c>
      <c r="I14" s="1">
        <v>7380</v>
      </c>
      <c r="J14" s="1">
        <v>7470</v>
      </c>
      <c r="K14" s="1">
        <v>7550</v>
      </c>
    </row>
    <row r="15" spans="1:11" x14ac:dyDescent="0.3">
      <c r="A15" t="s">
        <v>12</v>
      </c>
      <c r="B15">
        <v>0</v>
      </c>
      <c r="C15">
        <v>90</v>
      </c>
      <c r="D15">
        <v>550</v>
      </c>
      <c r="E15" s="1">
        <v>5240</v>
      </c>
      <c r="F15" s="1">
        <v>2860</v>
      </c>
      <c r="G15" s="1">
        <v>2220</v>
      </c>
      <c r="H15" s="1">
        <v>2510</v>
      </c>
      <c r="I15" s="1">
        <v>2630</v>
      </c>
      <c r="J15" s="1">
        <v>2110</v>
      </c>
      <c r="K15" s="1">
        <v>2570</v>
      </c>
    </row>
    <row r="16" spans="1:11" x14ac:dyDescent="0.3">
      <c r="A16" t="s">
        <v>13</v>
      </c>
      <c r="B16">
        <v>0</v>
      </c>
      <c r="C16">
        <v>10</v>
      </c>
      <c r="D16">
        <v>50</v>
      </c>
      <c r="E16">
        <v>490</v>
      </c>
      <c r="F16">
        <v>680</v>
      </c>
      <c r="G16">
        <v>670</v>
      </c>
      <c r="H16">
        <v>680</v>
      </c>
      <c r="I16">
        <v>780</v>
      </c>
      <c r="J16">
        <v>790</v>
      </c>
      <c r="K16">
        <v>800</v>
      </c>
    </row>
    <row r="17" spans="1:11" x14ac:dyDescent="0.3">
      <c r="A17" t="s">
        <v>14</v>
      </c>
      <c r="B17">
        <v>0</v>
      </c>
      <c r="C17">
        <v>150</v>
      </c>
      <c r="D17">
        <v>860</v>
      </c>
      <c r="E17" s="1">
        <v>9790</v>
      </c>
      <c r="F17" s="1">
        <v>9360</v>
      </c>
      <c r="G17" s="1">
        <v>8760</v>
      </c>
      <c r="H17" s="1">
        <v>9340</v>
      </c>
      <c r="I17" s="1">
        <v>10790</v>
      </c>
      <c r="J17" s="1">
        <v>10370</v>
      </c>
      <c r="K17" s="1">
        <v>10920</v>
      </c>
    </row>
    <row r="18" spans="1:11" x14ac:dyDescent="0.3">
      <c r="A18" t="s">
        <v>20</v>
      </c>
      <c r="B18">
        <v>0</v>
      </c>
      <c r="C18">
        <v>450</v>
      </c>
      <c r="D18" s="1">
        <v>2760</v>
      </c>
      <c r="E18" s="1">
        <v>29760</v>
      </c>
      <c r="F18" s="1">
        <v>33730</v>
      </c>
      <c r="G18" s="1">
        <v>31650</v>
      </c>
      <c r="H18" s="1">
        <v>29310</v>
      </c>
      <c r="I18" s="1">
        <v>33550</v>
      </c>
      <c r="J18" s="1">
        <v>34220</v>
      </c>
      <c r="K18" s="1">
        <v>34550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18"/>
  <sheetViews>
    <sheetView workbookViewId="0"/>
  </sheetViews>
  <sheetFormatPr defaultRowHeight="14.4" x14ac:dyDescent="0.3"/>
  <cols>
    <col min="1" max="1" width="28.109375" customWidth="1"/>
  </cols>
  <sheetData>
    <row r="1" spans="1:11" x14ac:dyDescent="0.3">
      <c r="B1">
        <v>1960</v>
      </c>
      <c r="C1">
        <v>1970</v>
      </c>
      <c r="D1">
        <v>1980</v>
      </c>
      <c r="E1">
        <v>1990</v>
      </c>
      <c r="F1">
        <v>2000</v>
      </c>
      <c r="G1">
        <v>2005</v>
      </c>
      <c r="H1">
        <v>2010</v>
      </c>
      <c r="I1">
        <v>2015</v>
      </c>
      <c r="J1">
        <v>2017</v>
      </c>
      <c r="K1">
        <v>2018</v>
      </c>
    </row>
    <row r="2" spans="1:11" x14ac:dyDescent="0.3">
      <c r="A2" t="s">
        <v>0</v>
      </c>
      <c r="B2" s="1">
        <v>24910</v>
      </c>
      <c r="C2" s="1">
        <v>37390</v>
      </c>
      <c r="D2" s="1">
        <v>42560</v>
      </c>
      <c r="E2" s="1">
        <v>43570</v>
      </c>
      <c r="F2" s="1">
        <v>40450</v>
      </c>
      <c r="G2" s="1">
        <v>35080</v>
      </c>
      <c r="H2" s="1">
        <v>22000</v>
      </c>
      <c r="I2" s="1">
        <v>18280</v>
      </c>
      <c r="J2" s="1">
        <v>18350</v>
      </c>
      <c r="K2" s="1">
        <v>17220</v>
      </c>
    </row>
    <row r="3" spans="1:11" x14ac:dyDescent="0.3">
      <c r="A3" t="s">
        <v>1</v>
      </c>
      <c r="B3" s="1">
        <v>6620</v>
      </c>
      <c r="C3" s="1">
        <v>12520</v>
      </c>
      <c r="D3" s="1">
        <v>14080</v>
      </c>
      <c r="E3" s="1">
        <v>8660</v>
      </c>
      <c r="F3" s="1">
        <v>8100</v>
      </c>
      <c r="G3" s="1">
        <v>8290</v>
      </c>
      <c r="H3" s="1">
        <v>7030</v>
      </c>
      <c r="I3" s="1">
        <v>6840</v>
      </c>
      <c r="J3" s="1">
        <v>7580</v>
      </c>
      <c r="K3" s="1">
        <v>7550</v>
      </c>
    </row>
    <row r="4" spans="1:11" x14ac:dyDescent="0.3">
      <c r="A4" t="s">
        <v>2</v>
      </c>
      <c r="B4" s="1">
        <v>10250</v>
      </c>
      <c r="C4" s="1">
        <v>12150</v>
      </c>
      <c r="D4" s="1">
        <v>12000</v>
      </c>
      <c r="E4" s="1">
        <v>8720</v>
      </c>
      <c r="F4" s="1">
        <v>7860</v>
      </c>
      <c r="G4" s="1">
        <v>8550</v>
      </c>
      <c r="H4" s="1">
        <v>9310</v>
      </c>
      <c r="I4" s="1">
        <v>9970</v>
      </c>
      <c r="J4" s="1">
        <v>10430</v>
      </c>
      <c r="K4" s="1">
        <v>10530</v>
      </c>
    </row>
    <row r="5" spans="1:11" x14ac:dyDescent="0.3">
      <c r="A5" t="s">
        <v>3</v>
      </c>
      <c r="B5">
        <v>340</v>
      </c>
      <c r="C5">
        <v>790</v>
      </c>
      <c r="D5" s="1">
        <v>1390</v>
      </c>
      <c r="E5" s="1">
        <v>1500</v>
      </c>
      <c r="F5" s="1">
        <v>1940</v>
      </c>
      <c r="G5" s="1">
        <v>2230</v>
      </c>
      <c r="H5" s="1">
        <v>2390</v>
      </c>
      <c r="I5" s="1">
        <v>2490</v>
      </c>
      <c r="J5" s="1">
        <v>2670</v>
      </c>
      <c r="K5" s="1">
        <v>2660</v>
      </c>
    </row>
    <row r="6" spans="1:11" x14ac:dyDescent="0.3">
      <c r="A6" t="s">
        <v>4</v>
      </c>
      <c r="B6">
        <v>180</v>
      </c>
      <c r="C6">
        <v>350</v>
      </c>
      <c r="D6">
        <v>600</v>
      </c>
      <c r="E6">
        <v>310</v>
      </c>
      <c r="F6">
        <v>490</v>
      </c>
      <c r="G6">
        <v>530</v>
      </c>
      <c r="H6">
        <v>520</v>
      </c>
      <c r="I6">
        <v>660</v>
      </c>
      <c r="J6">
        <v>730</v>
      </c>
      <c r="K6">
        <v>740</v>
      </c>
    </row>
    <row r="7" spans="1:11" x14ac:dyDescent="0.3">
      <c r="A7" t="s">
        <v>16</v>
      </c>
      <c r="B7" s="1">
        <v>10770</v>
      </c>
      <c r="C7" s="1">
        <v>13290</v>
      </c>
      <c r="D7" s="1">
        <v>13990</v>
      </c>
      <c r="E7" s="1">
        <v>10530</v>
      </c>
      <c r="F7" s="1">
        <v>10290</v>
      </c>
      <c r="G7" s="1">
        <v>11310</v>
      </c>
      <c r="H7" s="1">
        <v>12220</v>
      </c>
      <c r="I7" s="1">
        <v>13120</v>
      </c>
      <c r="J7" s="1">
        <v>13830</v>
      </c>
      <c r="K7" s="1">
        <v>13930</v>
      </c>
    </row>
    <row r="8" spans="1:11" x14ac:dyDescent="0.3">
      <c r="A8" t="s">
        <v>6</v>
      </c>
      <c r="B8">
        <v>390</v>
      </c>
      <c r="C8" s="1">
        <v>2900</v>
      </c>
      <c r="D8" s="1">
        <v>6670</v>
      </c>
      <c r="E8" s="1">
        <v>13780</v>
      </c>
      <c r="F8" s="1">
        <v>19950</v>
      </c>
      <c r="G8" s="1">
        <v>23270</v>
      </c>
      <c r="H8" s="1">
        <v>24370</v>
      </c>
      <c r="I8" s="1">
        <v>26030</v>
      </c>
      <c r="J8" s="1">
        <v>26820</v>
      </c>
      <c r="K8" s="1">
        <v>26970</v>
      </c>
    </row>
    <row r="9" spans="1:11" x14ac:dyDescent="0.3">
      <c r="A9" t="s">
        <v>7</v>
      </c>
      <c r="B9" s="1">
        <v>1510</v>
      </c>
      <c r="C9" s="1">
        <v>2710</v>
      </c>
      <c r="D9" s="1">
        <v>4000</v>
      </c>
      <c r="E9" s="1">
        <v>4590</v>
      </c>
      <c r="F9" s="1">
        <v>3880</v>
      </c>
      <c r="G9" s="1">
        <v>4130</v>
      </c>
      <c r="H9" s="1">
        <v>4400</v>
      </c>
      <c r="I9" s="1">
        <v>4490</v>
      </c>
      <c r="J9" s="1">
        <v>4950</v>
      </c>
      <c r="K9" s="1">
        <v>4990</v>
      </c>
    </row>
    <row r="10" spans="1:11" x14ac:dyDescent="0.3">
      <c r="A10" t="s">
        <v>8</v>
      </c>
      <c r="B10" s="1">
        <v>1710</v>
      </c>
      <c r="C10" s="1">
        <v>1970</v>
      </c>
      <c r="D10" s="1">
        <v>2320</v>
      </c>
      <c r="E10" s="1">
        <v>4270</v>
      </c>
      <c r="F10" s="1">
        <v>6280</v>
      </c>
      <c r="G10" s="1">
        <v>7570</v>
      </c>
      <c r="H10" s="1">
        <v>8900</v>
      </c>
      <c r="I10" s="1">
        <v>10540</v>
      </c>
      <c r="J10" s="1">
        <v>11150</v>
      </c>
      <c r="K10" s="1">
        <v>11300</v>
      </c>
    </row>
    <row r="11" spans="1:11" x14ac:dyDescent="0.3">
      <c r="A11" t="s">
        <v>9</v>
      </c>
      <c r="B11" s="1">
        <v>3030</v>
      </c>
      <c r="C11" s="1">
        <v>3710</v>
      </c>
      <c r="D11" s="1">
        <v>6860</v>
      </c>
      <c r="E11" s="1">
        <v>10000</v>
      </c>
      <c r="F11" s="1">
        <v>9910</v>
      </c>
      <c r="G11" s="1">
        <v>10690</v>
      </c>
      <c r="H11" s="1">
        <v>11120</v>
      </c>
      <c r="I11" s="1">
        <v>11070</v>
      </c>
      <c r="J11" s="1">
        <v>12290</v>
      </c>
      <c r="K11" s="1">
        <v>12150</v>
      </c>
    </row>
    <row r="12" spans="1:11" x14ac:dyDescent="0.3">
      <c r="A12" t="s">
        <v>10</v>
      </c>
      <c r="B12">
        <v>70</v>
      </c>
      <c r="C12">
        <v>470</v>
      </c>
      <c r="D12" s="1">
        <v>1990</v>
      </c>
      <c r="E12" s="1">
        <v>2100</v>
      </c>
      <c r="F12" s="1">
        <v>2480</v>
      </c>
      <c r="G12" s="1">
        <v>2570</v>
      </c>
      <c r="H12" s="1">
        <v>2800</v>
      </c>
      <c r="I12" s="1">
        <v>2980</v>
      </c>
      <c r="J12" s="1">
        <v>2970</v>
      </c>
      <c r="K12" s="1">
        <v>2930</v>
      </c>
    </row>
    <row r="13" spans="1:11" x14ac:dyDescent="0.3">
      <c r="A13" t="s">
        <v>11</v>
      </c>
      <c r="B13" s="1">
        <v>49010</v>
      </c>
      <c r="C13" s="1">
        <v>74960</v>
      </c>
      <c r="D13" s="1">
        <v>92470</v>
      </c>
      <c r="E13" s="1">
        <v>97500</v>
      </c>
      <c r="F13" s="1">
        <v>101340</v>
      </c>
      <c r="G13" s="1">
        <v>102910</v>
      </c>
      <c r="H13" s="1">
        <v>92840</v>
      </c>
      <c r="I13" s="1">
        <v>93350</v>
      </c>
      <c r="J13" s="1">
        <v>97940</v>
      </c>
      <c r="K13" s="1">
        <v>97040</v>
      </c>
    </row>
    <row r="14" spans="1:11" x14ac:dyDescent="0.3">
      <c r="A14" t="s">
        <v>19</v>
      </c>
      <c r="B14" s="1">
        <v>12200</v>
      </c>
      <c r="C14" s="1">
        <v>12750</v>
      </c>
      <c r="D14" s="1">
        <v>12740</v>
      </c>
      <c r="E14" s="1">
        <v>19800</v>
      </c>
      <c r="F14" s="1">
        <v>24200</v>
      </c>
      <c r="G14" s="1">
        <v>26370</v>
      </c>
      <c r="H14" s="1">
        <v>28620</v>
      </c>
      <c r="I14" s="1">
        <v>30250</v>
      </c>
      <c r="J14" s="1">
        <v>30630</v>
      </c>
      <c r="K14" s="1">
        <v>35280</v>
      </c>
    </row>
    <row r="15" spans="1:11" x14ac:dyDescent="0.3">
      <c r="A15" t="s">
        <v>12</v>
      </c>
      <c r="B15" s="1">
        <v>20000</v>
      </c>
      <c r="C15" s="1">
        <v>23110</v>
      </c>
      <c r="D15" s="1">
        <v>26950</v>
      </c>
      <c r="E15" s="1">
        <v>25560</v>
      </c>
      <c r="F15" s="1">
        <v>11900</v>
      </c>
      <c r="G15" s="1">
        <v>9990</v>
      </c>
      <c r="H15" s="1">
        <v>11690</v>
      </c>
      <c r="I15" s="1">
        <v>10800</v>
      </c>
      <c r="J15" s="1">
        <v>8650</v>
      </c>
      <c r="K15" s="1">
        <v>10530</v>
      </c>
    </row>
    <row r="16" spans="1:11" x14ac:dyDescent="0.3">
      <c r="A16" t="s">
        <v>13</v>
      </c>
      <c r="B16" s="1">
        <v>1300</v>
      </c>
      <c r="C16" s="1">
        <v>1770</v>
      </c>
      <c r="D16" s="1">
        <v>2200</v>
      </c>
      <c r="E16" s="1">
        <v>2410</v>
      </c>
      <c r="F16" s="1">
        <v>2820</v>
      </c>
      <c r="G16" s="1">
        <v>3020</v>
      </c>
      <c r="H16" s="1">
        <v>3160</v>
      </c>
      <c r="I16" s="1">
        <v>3210</v>
      </c>
      <c r="J16" s="1">
        <v>3250</v>
      </c>
      <c r="K16" s="1">
        <v>3270</v>
      </c>
    </row>
    <row r="17" spans="1:11" x14ac:dyDescent="0.3">
      <c r="A17" t="s">
        <v>14</v>
      </c>
      <c r="B17" s="1">
        <v>33500</v>
      </c>
      <c r="C17" s="1">
        <v>37630</v>
      </c>
      <c r="D17" s="1">
        <v>41890</v>
      </c>
      <c r="E17" s="1">
        <v>47770</v>
      </c>
      <c r="F17" s="1">
        <v>38920</v>
      </c>
      <c r="G17" s="1">
        <v>39380</v>
      </c>
      <c r="H17" s="1">
        <v>43470</v>
      </c>
      <c r="I17" s="1">
        <v>44260</v>
      </c>
      <c r="J17" s="1">
        <v>42530</v>
      </c>
      <c r="K17" s="1">
        <v>49080</v>
      </c>
    </row>
    <row r="18" spans="1:11" x14ac:dyDescent="0.3">
      <c r="A18" t="s">
        <v>22</v>
      </c>
      <c r="B18" s="1">
        <f>B17+B13</f>
        <v>82510</v>
      </c>
      <c r="C18" s="1">
        <f t="shared" ref="C18:K18" si="0">C17+C13</f>
        <v>112590</v>
      </c>
      <c r="D18" s="1">
        <f t="shared" si="0"/>
        <v>134360</v>
      </c>
      <c r="E18" s="1">
        <f t="shared" si="0"/>
        <v>145270</v>
      </c>
      <c r="F18" s="1">
        <f t="shared" si="0"/>
        <v>140260</v>
      </c>
      <c r="G18" s="1">
        <f t="shared" si="0"/>
        <v>142290</v>
      </c>
      <c r="H18" s="1">
        <f t="shared" si="0"/>
        <v>136310</v>
      </c>
      <c r="I18" s="1">
        <f t="shared" si="0"/>
        <v>137610</v>
      </c>
      <c r="J18" s="1">
        <f t="shared" si="0"/>
        <v>140470</v>
      </c>
      <c r="K18" s="1">
        <f t="shared" si="0"/>
        <v>146120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18"/>
  <sheetViews>
    <sheetView workbookViewId="0"/>
  </sheetViews>
  <sheetFormatPr defaultRowHeight="14.4" x14ac:dyDescent="0.3"/>
  <cols>
    <col min="1" max="1" width="27.5546875" customWidth="1"/>
  </cols>
  <sheetData>
    <row r="1" spans="1:13" x14ac:dyDescent="0.3">
      <c r="B1">
        <v>1960</v>
      </c>
      <c r="C1">
        <v>1970</v>
      </c>
      <c r="D1">
        <v>1980</v>
      </c>
      <c r="E1">
        <v>1990</v>
      </c>
      <c r="F1">
        <v>2000</v>
      </c>
      <c r="G1">
        <v>2005</v>
      </c>
      <c r="H1">
        <v>2010</v>
      </c>
      <c r="I1">
        <v>2015</v>
      </c>
      <c r="J1">
        <v>2017</v>
      </c>
      <c r="K1">
        <v>2018</v>
      </c>
    </row>
    <row r="2" spans="1:13" x14ac:dyDescent="0.3">
      <c r="A2" t="s">
        <v>0</v>
      </c>
      <c r="B2" s="1">
        <v>5080</v>
      </c>
      <c r="C2" s="1">
        <v>6770</v>
      </c>
      <c r="D2" s="1">
        <v>11740</v>
      </c>
      <c r="E2" s="1">
        <v>20230</v>
      </c>
      <c r="F2" s="1">
        <v>37560</v>
      </c>
      <c r="G2" s="1">
        <v>41960</v>
      </c>
      <c r="H2" s="1">
        <v>44570</v>
      </c>
      <c r="I2" s="1">
        <v>45320</v>
      </c>
      <c r="J2" s="1">
        <v>44170</v>
      </c>
      <c r="K2" s="1">
        <v>45970</v>
      </c>
    </row>
    <row r="3" spans="1:13" x14ac:dyDescent="0.3">
      <c r="A3" t="s">
        <v>1</v>
      </c>
      <c r="B3">
        <v>100</v>
      </c>
      <c r="C3">
        <v>160</v>
      </c>
      <c r="D3">
        <v>750</v>
      </c>
      <c r="E3" s="1">
        <v>2630</v>
      </c>
      <c r="F3" s="1">
        <v>2880</v>
      </c>
      <c r="G3" s="1">
        <v>2590</v>
      </c>
      <c r="H3" s="1">
        <v>3130</v>
      </c>
      <c r="I3" s="1">
        <v>3190</v>
      </c>
      <c r="J3" s="1">
        <v>3070</v>
      </c>
      <c r="K3" s="1">
        <v>3060</v>
      </c>
    </row>
    <row r="4" spans="1:13" x14ac:dyDescent="0.3">
      <c r="A4" t="s">
        <v>2</v>
      </c>
      <c r="B4">
        <v>50</v>
      </c>
      <c r="C4">
        <v>150</v>
      </c>
      <c r="D4">
        <v>370</v>
      </c>
      <c r="E4" s="1">
        <v>2230</v>
      </c>
      <c r="F4" s="1">
        <v>4680</v>
      </c>
      <c r="G4" s="1">
        <v>5020</v>
      </c>
      <c r="H4" s="1">
        <v>5800</v>
      </c>
      <c r="I4" s="1">
        <v>6070</v>
      </c>
      <c r="J4" s="1">
        <v>6170</v>
      </c>
      <c r="K4" s="1">
        <v>6360</v>
      </c>
    </row>
    <row r="5" spans="1:13" x14ac:dyDescent="0.3">
      <c r="A5" t="s">
        <v>3</v>
      </c>
      <c r="B5">
        <v>0</v>
      </c>
      <c r="C5">
        <v>10</v>
      </c>
      <c r="D5">
        <v>310</v>
      </c>
      <c r="E5" s="1">
        <v>1010</v>
      </c>
      <c r="F5">
        <v>860</v>
      </c>
      <c r="G5">
        <v>690</v>
      </c>
      <c r="H5">
        <v>680</v>
      </c>
      <c r="I5">
        <v>670</v>
      </c>
      <c r="J5">
        <v>600</v>
      </c>
      <c r="K5">
        <v>670</v>
      </c>
    </row>
    <row r="6" spans="1:13" x14ac:dyDescent="0.3">
      <c r="A6" t="s">
        <v>4</v>
      </c>
      <c r="B6">
        <v>0</v>
      </c>
      <c r="C6">
        <v>320</v>
      </c>
      <c r="D6">
        <v>540</v>
      </c>
      <c r="E6">
        <v>730</v>
      </c>
      <c r="F6" s="1">
        <v>1060</v>
      </c>
      <c r="G6" s="1">
        <v>1280</v>
      </c>
      <c r="H6" s="1">
        <v>1440</v>
      </c>
      <c r="I6" s="1">
        <v>1290</v>
      </c>
      <c r="J6" s="1">
        <v>1710</v>
      </c>
      <c r="K6" s="1">
        <v>1690</v>
      </c>
    </row>
    <row r="7" spans="1:13" x14ac:dyDescent="0.3">
      <c r="A7" t="s">
        <v>16</v>
      </c>
      <c r="B7">
        <v>50</v>
      </c>
      <c r="C7">
        <v>480</v>
      </c>
      <c r="D7" s="1">
        <v>1220</v>
      </c>
      <c r="E7" s="1">
        <v>3970</v>
      </c>
      <c r="F7" s="1">
        <v>6600</v>
      </c>
      <c r="G7" s="1">
        <v>6990</v>
      </c>
      <c r="H7" s="1">
        <v>7920</v>
      </c>
      <c r="I7" s="1">
        <v>8030</v>
      </c>
      <c r="J7" s="1">
        <v>8480</v>
      </c>
      <c r="K7" s="1">
        <v>8720</v>
      </c>
    </row>
    <row r="8" spans="1:13" x14ac:dyDescent="0.3">
      <c r="A8" t="s">
        <v>6</v>
      </c>
      <c r="B8">
        <v>0</v>
      </c>
      <c r="C8">
        <v>0</v>
      </c>
      <c r="D8">
        <v>20</v>
      </c>
      <c r="E8">
        <v>370</v>
      </c>
      <c r="F8" s="1">
        <v>1480</v>
      </c>
      <c r="G8" s="1">
        <v>1780</v>
      </c>
      <c r="H8" s="1">
        <v>2500</v>
      </c>
      <c r="I8" s="1">
        <v>3120</v>
      </c>
      <c r="J8" s="1">
        <v>3000</v>
      </c>
      <c r="K8" s="1">
        <v>3090</v>
      </c>
    </row>
    <row r="9" spans="1:13" x14ac:dyDescent="0.3">
      <c r="A9" t="s">
        <v>7</v>
      </c>
      <c r="B9">
        <v>330</v>
      </c>
      <c r="C9">
        <v>250</v>
      </c>
      <c r="D9">
        <v>130</v>
      </c>
      <c r="E9">
        <v>370</v>
      </c>
      <c r="F9">
        <v>820</v>
      </c>
      <c r="G9" s="1">
        <v>1050</v>
      </c>
      <c r="H9" s="1">
        <v>1440</v>
      </c>
      <c r="I9" s="1">
        <v>1550</v>
      </c>
      <c r="J9" s="1">
        <v>1670</v>
      </c>
      <c r="K9" s="1">
        <v>1670</v>
      </c>
    </row>
    <row r="10" spans="1:13" x14ac:dyDescent="0.3">
      <c r="A10" t="s">
        <v>8</v>
      </c>
      <c r="B10">
        <v>50</v>
      </c>
      <c r="C10">
        <v>60</v>
      </c>
      <c r="D10">
        <v>160</v>
      </c>
      <c r="E10">
        <v>660</v>
      </c>
      <c r="F10" s="1">
        <v>1320</v>
      </c>
      <c r="G10" s="1">
        <v>1830</v>
      </c>
      <c r="H10" s="1">
        <v>2050</v>
      </c>
      <c r="I10" s="1">
        <v>2460</v>
      </c>
      <c r="J10" s="1">
        <v>2570</v>
      </c>
      <c r="K10" s="1">
        <v>2510</v>
      </c>
    </row>
    <row r="11" spans="1:13" x14ac:dyDescent="0.3">
      <c r="A11" t="s">
        <v>9</v>
      </c>
      <c r="B11">
        <v>0</v>
      </c>
      <c r="C11">
        <v>0</v>
      </c>
      <c r="D11">
        <v>0</v>
      </c>
      <c r="E11">
        <v>130</v>
      </c>
      <c r="F11" s="1">
        <v>1370</v>
      </c>
      <c r="G11" s="1">
        <v>1830</v>
      </c>
      <c r="H11" s="1">
        <v>2280</v>
      </c>
      <c r="I11" s="1">
        <v>2660</v>
      </c>
      <c r="J11" s="1">
        <v>3030</v>
      </c>
      <c r="K11" s="1">
        <v>3100</v>
      </c>
    </row>
    <row r="12" spans="1:13" x14ac:dyDescent="0.3">
      <c r="A12" t="s">
        <v>10</v>
      </c>
      <c r="B12">
        <v>0</v>
      </c>
      <c r="C12">
        <v>300</v>
      </c>
      <c r="D12">
        <v>500</v>
      </c>
      <c r="E12">
        <v>680</v>
      </c>
      <c r="F12">
        <v>980</v>
      </c>
      <c r="G12" s="1">
        <v>1210</v>
      </c>
      <c r="H12" s="1">
        <v>1370</v>
      </c>
      <c r="I12" s="1">
        <v>1230</v>
      </c>
      <c r="J12">
        <v>990</v>
      </c>
      <c r="K12">
        <v>970</v>
      </c>
    </row>
    <row r="13" spans="1:13" x14ac:dyDescent="0.3">
      <c r="A13" t="s">
        <v>17</v>
      </c>
      <c r="B13" s="1">
        <v>5610</v>
      </c>
      <c r="C13" s="1">
        <v>8020</v>
      </c>
      <c r="D13" s="1">
        <v>14520</v>
      </c>
      <c r="E13" s="1">
        <v>29040</v>
      </c>
      <c r="F13" s="1">
        <v>53010</v>
      </c>
      <c r="G13" s="1">
        <v>59240</v>
      </c>
      <c r="H13" s="1">
        <v>65260</v>
      </c>
      <c r="I13" s="1">
        <v>67560</v>
      </c>
      <c r="J13" s="1">
        <v>66980</v>
      </c>
      <c r="K13" s="1">
        <v>69090</v>
      </c>
      <c r="L13" s="1"/>
      <c r="M13" s="1"/>
    </row>
    <row r="14" spans="1:13" x14ac:dyDescent="0.3">
      <c r="A14" t="s">
        <v>19</v>
      </c>
      <c r="B14">
        <v>0</v>
      </c>
      <c r="C14">
        <v>0</v>
      </c>
      <c r="D14">
        <v>0</v>
      </c>
      <c r="E14">
        <v>0</v>
      </c>
      <c r="F14">
        <v>680</v>
      </c>
      <c r="G14">
        <v>690</v>
      </c>
      <c r="H14">
        <v>970</v>
      </c>
      <c r="I14" s="1">
        <v>2100</v>
      </c>
      <c r="J14" s="1">
        <v>2570</v>
      </c>
      <c r="K14" s="1">
        <v>2590</v>
      </c>
    </row>
    <row r="15" spans="1:13" x14ac:dyDescent="0.3">
      <c r="A15" t="s">
        <v>12</v>
      </c>
      <c r="B15">
        <v>0</v>
      </c>
      <c r="C15">
        <v>0</v>
      </c>
      <c r="D15">
        <v>0</v>
      </c>
      <c r="E15" s="1">
        <v>4200</v>
      </c>
      <c r="F15" s="1">
        <v>15770</v>
      </c>
      <c r="G15" s="1">
        <v>19860</v>
      </c>
      <c r="H15" s="1">
        <v>19200</v>
      </c>
      <c r="I15" s="1">
        <v>21290</v>
      </c>
      <c r="J15" s="1">
        <v>24420</v>
      </c>
      <c r="K15" s="1">
        <v>22300</v>
      </c>
    </row>
    <row r="16" spans="1:13" x14ac:dyDescent="0.3">
      <c r="A16" t="s">
        <v>13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t="s">
        <v>18</v>
      </c>
      <c r="B17">
        <v>0</v>
      </c>
      <c r="C17">
        <v>0</v>
      </c>
      <c r="D17">
        <v>0</v>
      </c>
      <c r="E17" s="1">
        <v>4200</v>
      </c>
      <c r="F17" s="1">
        <v>16450</v>
      </c>
      <c r="G17" s="1">
        <v>20550</v>
      </c>
      <c r="H17" s="1">
        <v>20170</v>
      </c>
      <c r="I17" s="1">
        <v>23390</v>
      </c>
      <c r="J17" s="1">
        <v>26990</v>
      </c>
      <c r="K17" s="1">
        <v>24890</v>
      </c>
    </row>
    <row r="18" spans="1:11" x14ac:dyDescent="0.3">
      <c r="A18" t="s">
        <v>21</v>
      </c>
      <c r="B18" s="1">
        <f>B13</f>
        <v>5610</v>
      </c>
      <c r="C18" s="1">
        <f>C13</f>
        <v>8020</v>
      </c>
      <c r="D18" s="1">
        <f>D13</f>
        <v>14520</v>
      </c>
      <c r="E18" s="1">
        <f t="shared" ref="E18:J18" si="0">E13+E17</f>
        <v>33240</v>
      </c>
      <c r="F18" s="1">
        <f t="shared" si="0"/>
        <v>69460</v>
      </c>
      <c r="G18" s="1">
        <f t="shared" si="0"/>
        <v>79790</v>
      </c>
      <c r="H18" s="1">
        <f t="shared" si="0"/>
        <v>85430</v>
      </c>
      <c r="I18" s="1">
        <f t="shared" si="0"/>
        <v>90950</v>
      </c>
      <c r="J18" s="1">
        <f t="shared" si="0"/>
        <v>93970</v>
      </c>
      <c r="K18" s="1">
        <f>K13+K17</f>
        <v>93980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absolute_generated_waste_table</vt:lpstr>
      <vt:lpstr>absolute_recycled_table</vt:lpstr>
      <vt:lpstr>absolute_composted_table</vt:lpstr>
      <vt:lpstr>absolute_combusted_table</vt:lpstr>
      <vt:lpstr>absolute_landfill_table</vt:lpstr>
      <vt:lpstr>absolute_recycle_compost_table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Luke Elwonger</cp:lastModifiedBy>
  <dcterms:created xsi:type="dcterms:W3CDTF">2022-03-31T21:41:26Z</dcterms:created>
  <dcterms:modified xsi:type="dcterms:W3CDTF">2022-03-31T22:19:41Z</dcterms:modified>
</cp:coreProperties>
</file>